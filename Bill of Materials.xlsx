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gorini\Documents\Diego\Progetti Hardware\Rigorini 3D Printer\"/>
    </mc:Choice>
  </mc:AlternateContent>
  <xr:revisionPtr revIDLastSave="0" documentId="10_ncr:8100000_{61EDC4FB-568B-4B96-960D-09AF98783C51}" xr6:coauthVersionLast="32" xr6:coauthVersionMax="32" xr10:uidLastSave="{00000000-0000-0000-0000-000000000000}"/>
  <bookViews>
    <workbookView xWindow="0" yWindow="0" windowWidth="19560" windowHeight="9525" xr2:uid="{AD4B5A2A-0E8B-44A7-91E1-D202EB516C4D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1" l="1"/>
  <c r="E44" i="1"/>
  <c r="E64" i="1" l="1"/>
  <c r="E2" i="1"/>
  <c r="E62" i="1"/>
  <c r="E61" i="1" l="1"/>
  <c r="E60" i="1"/>
  <c r="E34" i="1"/>
  <c r="E35" i="1"/>
  <c r="E46" i="1"/>
  <c r="E11" i="1"/>
  <c r="E37" i="1"/>
  <c r="E3" i="1"/>
  <c r="E36" i="1"/>
  <c r="E54" i="1"/>
  <c r="E41" i="1"/>
  <c r="E24" i="1"/>
  <c r="E6" i="1"/>
  <c r="E19" i="1"/>
  <c r="E45" i="1"/>
  <c r="E51" i="1" l="1"/>
  <c r="E12" i="1"/>
  <c r="E5" i="1"/>
  <c r="E16" i="1"/>
  <c r="E23" i="1"/>
  <c r="E22" i="1"/>
  <c r="E40" i="1"/>
  <c r="E43" i="1"/>
  <c r="E42" i="1"/>
  <c r="E39" i="1"/>
  <c r="E52" i="1"/>
  <c r="E32" i="1"/>
  <c r="E18" i="1" l="1"/>
  <c r="E14" i="1"/>
  <c r="E13" i="1"/>
  <c r="E10" i="1"/>
  <c r="D10" i="1"/>
  <c r="E4" i="1"/>
  <c r="D4" i="1"/>
  <c r="E27" i="1" l="1"/>
  <c r="E26" i="1"/>
</calcChain>
</file>

<file path=xl/sharedStrings.xml><?xml version="1.0" encoding="utf-8"?>
<sst xmlns="http://schemas.openxmlformats.org/spreadsheetml/2006/main" count="129" uniqueCount="72">
  <si>
    <t>Description</t>
  </si>
  <si>
    <t>Quantity</t>
  </si>
  <si>
    <t>Where to buy</t>
  </si>
  <si>
    <t>https://www.omc-stepperonline.com</t>
  </si>
  <si>
    <t>Notors Nema 17HS19-0854S</t>
  </si>
  <si>
    <t>Motors Nema 17HS08-1004S</t>
  </si>
  <si>
    <t>Estimate unit price</t>
  </si>
  <si>
    <t>Bolts 5x30</t>
  </si>
  <si>
    <t>Bolts 5x40</t>
  </si>
  <si>
    <t>Bolts 5x20</t>
  </si>
  <si>
    <t>Washers M5</t>
  </si>
  <si>
    <t>Nuts M5</t>
  </si>
  <si>
    <t>Bearings 625zz</t>
  </si>
  <si>
    <t>Aliexpress</t>
  </si>
  <si>
    <t>Spring for feeder</t>
  </si>
  <si>
    <t>Gear Brass Feeder MK8</t>
  </si>
  <si>
    <t>Screw M5x16</t>
  </si>
  <si>
    <t>Fan 40x40x20 12V 3.8W</t>
  </si>
  <si>
    <t>Nuts M4</t>
  </si>
  <si>
    <t>Hexagon Head Cap Screws M4x25</t>
  </si>
  <si>
    <t xml:space="preserve">Screw M3x8 </t>
  </si>
  <si>
    <t>Bushing Sleeve SF-1 0810</t>
  </si>
  <si>
    <t>Extruder E3D V6 with Fan (Direct)</t>
  </si>
  <si>
    <t>Openbuilds Anti-Backlash Nut with screws</t>
  </si>
  <si>
    <t>Screw M5x20</t>
  </si>
  <si>
    <t>Local store</t>
  </si>
  <si>
    <t>Tape Heat Resistant 10mm</t>
  </si>
  <si>
    <t>Flexible Shaft Coupler 8-5</t>
  </si>
  <si>
    <t>Wood Screws 4x12</t>
  </si>
  <si>
    <t>Wood Screws 2.2x9.5</t>
  </si>
  <si>
    <t>Bearings KFL08</t>
  </si>
  <si>
    <t>Endstop Mechanical Switches</t>
  </si>
  <si>
    <t>Rectified 8mm rod 389mm (Right &amp; Left)</t>
  </si>
  <si>
    <t>Rectified 8mm rod 510mm (Back &amp; Front)</t>
  </si>
  <si>
    <t>Rectified 8mm rod 523mm (Axis X)</t>
  </si>
  <si>
    <t>Rectified 8mm rod 402mm (Axis Y)</t>
  </si>
  <si>
    <t>Leadscrew pitch 2mm 4 starts 366mm</t>
  </si>
  <si>
    <t>Leadscrew pitch 2mm 4 starts 687mm</t>
  </si>
  <si>
    <t>Total price</t>
  </si>
  <si>
    <t>Wood Screws 4x30</t>
  </si>
  <si>
    <t>RepRap Heat bed 200x300</t>
  </si>
  <si>
    <t>Alluminium sheet 215x315x2</t>
  </si>
  <si>
    <t>Flat head Screw M3x30</t>
  </si>
  <si>
    <t>Bed level Spring</t>
  </si>
  <si>
    <t>Nuts M3</t>
  </si>
  <si>
    <t>Hand Nuts for bed level M3</t>
  </si>
  <si>
    <t>Hexagon Cilinder Screws M3x16</t>
  </si>
  <si>
    <t>Leadscrew T8 350mm pitch 2 1 start + LeadScrew Nut</t>
  </si>
  <si>
    <t>Rectified 8mm rod 500mm (Axis Z)</t>
  </si>
  <si>
    <t>Top acrylic glass 500x752</t>
  </si>
  <si>
    <t>Power Supply 12v 30A 360W</t>
  </si>
  <si>
    <t>Arduino Mega 2560</t>
  </si>
  <si>
    <t>Ramps 1.4</t>
  </si>
  <si>
    <t>DRV8825 Stepper Driver</t>
  </si>
  <si>
    <t>RepRap LCD 12864</t>
  </si>
  <si>
    <t>Power Inlet C14 With Switch</t>
  </si>
  <si>
    <t>Power Cord C13</t>
  </si>
  <si>
    <t>Pan Head Screw M3x20</t>
  </si>
  <si>
    <t>Threaded Rod M5 130mm</t>
  </si>
  <si>
    <t>Magnetic Lock with plate</t>
  </si>
  <si>
    <t>Washers M5 Extra large</t>
  </si>
  <si>
    <t>Nuts M10</t>
  </si>
  <si>
    <t>Foot M10</t>
  </si>
  <si>
    <t>Estimated price for all nuts, screws, bolt, washers etc..</t>
  </si>
  <si>
    <t>Leroy Merlin</t>
  </si>
  <si>
    <t xml:space="preserve">MDF Panels for case 16mm 610x930 </t>
  </si>
  <si>
    <t>MDF Panels for case 10mm 330x230</t>
  </si>
  <si>
    <t>MDF Panels for case 3mm 760x1060</t>
  </si>
  <si>
    <t>TOTAL</t>
  </si>
  <si>
    <t>Relay 12V 40A</t>
  </si>
  <si>
    <t>Local Car Parts Store</t>
  </si>
  <si>
    <t>Ramps RRD Fan Extender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</si>
</sst>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4" fontId="3" fillId="0" borderId="0" xfId="1" applyFont="1"/>
  </cellXfs>
  <cellStyles count="3">
    <cellStyle name="Collegamento ipertestuale" xfId="2" builtinId="8"/>
    <cellStyle name="Normale" xfId="0" builtinId="0"/>
    <cellStyle name="Valuta" xfId="1" builtinId="4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A1A39-22B8-421A-A6D0-EB6DE4E4E595}" name="Tabella1" displayName="Tabella1" ref="A1:E64" totalsRowShown="0">
  <autoFilter ref="A1:E64" xr:uid="{3E9E45AB-70B0-42EA-9702-5CDCA21C9473}"/>
  <sortState ref="A2:E64">
    <sortCondition ref="A1:A64"/>
  </sortState>
  <tableColumns count="5">
    <tableColumn id="1" xr3:uid="{6B75AC82-E8F8-4AF9-9A78-CEA1F2759817}" name="Description"/>
    <tableColumn id="2" xr3:uid="{62067823-76E2-4329-A907-8033A8B19B10}" name="Quantity" dataDxfId="1"/>
    <tableColumn id="3" xr3:uid="{409D6ECA-C5C4-40D8-9EBB-3DCAA0E47B07}" name="Where to buy"/>
    <tableColumn id="4" xr3:uid="{3936DF07-457D-466F-B2AA-88ADC4A1EC12}" name="Estimate unit price" dataDxfId="0" dataCellStyle="Valuta"/>
    <tableColumn id="5" xr3:uid="{3E38BC1C-441A-4328-AB10-39F05EBEBEF1}" name="Total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mc-stepperonline.com/" TargetMode="External"/><Relationship Id="rId1" Type="http://schemas.openxmlformats.org/officeDocument/2006/relationships/hyperlink" Target="https://www.omc-stepperonline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7C51-70DD-4CCD-9DA5-A660F21D8FD8}">
  <dimension ref="A1:E64"/>
  <sheetViews>
    <sheetView tabSelected="1" topLeftCell="A36" workbookViewId="0">
      <selection activeCell="B59" sqref="B59"/>
    </sheetView>
  </sheetViews>
  <sheetFormatPr defaultRowHeight="15" x14ac:dyDescent="0.25"/>
  <cols>
    <col min="1" max="1" width="49.140625" bestFit="1" customWidth="1"/>
    <col min="2" max="2" width="13.28515625" style="4" bestFit="1" customWidth="1"/>
    <col min="3" max="3" width="42.85546875" customWidth="1"/>
    <col min="4" max="4" width="20.5703125" style="2" customWidth="1"/>
    <col min="5" max="5" width="12.5703125" bestFit="1" customWidth="1"/>
  </cols>
  <sheetData>
    <row r="1" spans="1:5" x14ac:dyDescent="0.25">
      <c r="A1" t="s">
        <v>0</v>
      </c>
      <c r="B1" s="4" t="s">
        <v>1</v>
      </c>
      <c r="C1" t="s">
        <v>2</v>
      </c>
      <c r="D1" s="2" t="s">
        <v>6</v>
      </c>
      <c r="E1" t="s">
        <v>38</v>
      </c>
    </row>
    <row r="2" spans="1:5" x14ac:dyDescent="0.25">
      <c r="A2" t="s">
        <v>41</v>
      </c>
      <c r="B2" s="4">
        <v>1</v>
      </c>
      <c r="C2" t="s">
        <v>25</v>
      </c>
      <c r="D2" s="2">
        <v>3</v>
      </c>
      <c r="E2" s="3">
        <f>D2*B2</f>
        <v>3</v>
      </c>
    </row>
    <row r="3" spans="1:5" x14ac:dyDescent="0.25">
      <c r="A3" t="s">
        <v>51</v>
      </c>
      <c r="B3" s="4">
        <v>1</v>
      </c>
      <c r="C3" t="s">
        <v>13</v>
      </c>
      <c r="D3" s="2">
        <v>10</v>
      </c>
      <c r="E3" s="3">
        <f>D3*B3</f>
        <v>10</v>
      </c>
    </row>
    <row r="4" spans="1:5" x14ac:dyDescent="0.25">
      <c r="A4" t="s">
        <v>12</v>
      </c>
      <c r="B4" s="4">
        <v>10</v>
      </c>
      <c r="C4" t="s">
        <v>13</v>
      </c>
      <c r="D4" s="2">
        <f>0.15</f>
        <v>0.15</v>
      </c>
      <c r="E4" s="3">
        <f>D4*B4</f>
        <v>1.5</v>
      </c>
    </row>
    <row r="5" spans="1:5" x14ac:dyDescent="0.25">
      <c r="A5" t="s">
        <v>30</v>
      </c>
      <c r="B5" s="4">
        <v>10</v>
      </c>
      <c r="C5" t="s">
        <v>13</v>
      </c>
      <c r="D5" s="2">
        <v>1.5</v>
      </c>
      <c r="E5" s="3">
        <f>D5*B5</f>
        <v>15</v>
      </c>
    </row>
    <row r="6" spans="1:5" x14ac:dyDescent="0.25">
      <c r="A6" t="s">
        <v>43</v>
      </c>
      <c r="B6" s="4">
        <v>3</v>
      </c>
      <c r="C6" t="s">
        <v>13</v>
      </c>
      <c r="D6" s="2">
        <v>0.5</v>
      </c>
      <c r="E6" s="3">
        <f>D6*B6</f>
        <v>1.5</v>
      </c>
    </row>
    <row r="7" spans="1:5" x14ac:dyDescent="0.25">
      <c r="A7" t="s">
        <v>9</v>
      </c>
      <c r="B7" s="4">
        <v>6</v>
      </c>
      <c r="C7" t="s">
        <v>25</v>
      </c>
    </row>
    <row r="8" spans="1:5" x14ac:dyDescent="0.25">
      <c r="A8" t="s">
        <v>7</v>
      </c>
      <c r="B8" s="4">
        <v>33</v>
      </c>
      <c r="C8" t="s">
        <v>25</v>
      </c>
    </row>
    <row r="9" spans="1:5" x14ac:dyDescent="0.25">
      <c r="A9" t="s">
        <v>8</v>
      </c>
      <c r="B9" s="4">
        <v>2</v>
      </c>
      <c r="C9" t="s">
        <v>25</v>
      </c>
    </row>
    <row r="10" spans="1:5" x14ac:dyDescent="0.25">
      <c r="A10" t="s">
        <v>21</v>
      </c>
      <c r="B10" s="4">
        <v>16</v>
      </c>
      <c r="C10" t="s">
        <v>13</v>
      </c>
      <c r="D10" s="2">
        <f>5.5/20</f>
        <v>0.27500000000000002</v>
      </c>
      <c r="E10" s="3">
        <f>D10*B10</f>
        <v>4.4000000000000004</v>
      </c>
    </row>
    <row r="11" spans="1:5" x14ac:dyDescent="0.25">
      <c r="A11" t="s">
        <v>53</v>
      </c>
      <c r="B11" s="4">
        <v>5</v>
      </c>
      <c r="C11" t="s">
        <v>13</v>
      </c>
      <c r="D11" s="2">
        <v>1</v>
      </c>
      <c r="E11" s="3">
        <f>D11*B11</f>
        <v>5</v>
      </c>
    </row>
    <row r="12" spans="1:5" x14ac:dyDescent="0.25">
      <c r="A12" t="s">
        <v>31</v>
      </c>
      <c r="B12" s="4">
        <v>3</v>
      </c>
      <c r="C12" t="s">
        <v>13</v>
      </c>
      <c r="D12" s="2">
        <v>1.5</v>
      </c>
      <c r="E12" s="3">
        <f>D12*B12</f>
        <v>4.5</v>
      </c>
    </row>
    <row r="13" spans="1:5" x14ac:dyDescent="0.25">
      <c r="A13" t="s">
        <v>22</v>
      </c>
      <c r="B13" s="4">
        <v>2</v>
      </c>
      <c r="C13" t="s">
        <v>13</v>
      </c>
      <c r="D13" s="2">
        <v>6</v>
      </c>
      <c r="E13" s="3">
        <f>D13*B13</f>
        <v>12</v>
      </c>
    </row>
    <row r="14" spans="1:5" x14ac:dyDescent="0.25">
      <c r="A14" t="s">
        <v>17</v>
      </c>
      <c r="B14" s="4">
        <v>2</v>
      </c>
      <c r="C14" t="s">
        <v>13</v>
      </c>
      <c r="D14" s="2">
        <v>5</v>
      </c>
      <c r="E14" s="3">
        <f>D14*B14</f>
        <v>10</v>
      </c>
    </row>
    <row r="15" spans="1:5" x14ac:dyDescent="0.25">
      <c r="A15" t="s">
        <v>42</v>
      </c>
      <c r="B15" s="4">
        <v>3</v>
      </c>
      <c r="C15" t="s">
        <v>25</v>
      </c>
    </row>
    <row r="16" spans="1:5" x14ac:dyDescent="0.25">
      <c r="A16" t="s">
        <v>27</v>
      </c>
      <c r="B16" s="4">
        <v>5</v>
      </c>
      <c r="C16" t="s">
        <v>13</v>
      </c>
      <c r="D16" s="2">
        <v>1</v>
      </c>
      <c r="E16" s="3">
        <f>D16*B16</f>
        <v>5</v>
      </c>
    </row>
    <row r="17" spans="1:5" x14ac:dyDescent="0.25">
      <c r="A17" t="s">
        <v>62</v>
      </c>
      <c r="B17" s="4">
        <v>4</v>
      </c>
      <c r="C17" t="s">
        <v>25</v>
      </c>
      <c r="E17" s="3"/>
    </row>
    <row r="18" spans="1:5" x14ac:dyDescent="0.25">
      <c r="A18" t="s">
        <v>15</v>
      </c>
      <c r="B18" s="4">
        <v>2</v>
      </c>
      <c r="C18" t="s">
        <v>13</v>
      </c>
      <c r="D18" s="2">
        <v>1</v>
      </c>
      <c r="E18" s="3">
        <f>D18*B18</f>
        <v>2</v>
      </c>
    </row>
    <row r="19" spans="1:5" x14ac:dyDescent="0.25">
      <c r="A19" t="s">
        <v>45</v>
      </c>
      <c r="B19" s="4">
        <v>3</v>
      </c>
      <c r="C19" t="s">
        <v>13</v>
      </c>
      <c r="D19" s="2">
        <v>0.5</v>
      </c>
      <c r="E19" s="3">
        <f>D19*B19</f>
        <v>1.5</v>
      </c>
    </row>
    <row r="20" spans="1:5" x14ac:dyDescent="0.25">
      <c r="A20" t="s">
        <v>46</v>
      </c>
      <c r="B20" s="4">
        <v>4</v>
      </c>
      <c r="C20" t="s">
        <v>25</v>
      </c>
    </row>
    <row r="21" spans="1:5" x14ac:dyDescent="0.25">
      <c r="A21" t="s">
        <v>19</v>
      </c>
      <c r="B21" s="4">
        <v>4</v>
      </c>
      <c r="C21" t="s">
        <v>25</v>
      </c>
    </row>
    <row r="22" spans="1:5" x14ac:dyDescent="0.25">
      <c r="A22" t="s">
        <v>36</v>
      </c>
      <c r="B22" s="4">
        <v>2</v>
      </c>
      <c r="C22" t="s">
        <v>13</v>
      </c>
      <c r="D22" s="2">
        <v>8</v>
      </c>
      <c r="E22" s="3">
        <f>D22*B22</f>
        <v>16</v>
      </c>
    </row>
    <row r="23" spans="1:5" x14ac:dyDescent="0.25">
      <c r="A23" t="s">
        <v>37</v>
      </c>
      <c r="B23" s="4">
        <v>2</v>
      </c>
      <c r="C23" t="s">
        <v>13</v>
      </c>
      <c r="D23" s="2">
        <v>8</v>
      </c>
      <c r="E23" s="3">
        <f>D23*B23</f>
        <v>16</v>
      </c>
    </row>
    <row r="24" spans="1:5" x14ac:dyDescent="0.25">
      <c r="A24" t="s">
        <v>47</v>
      </c>
      <c r="B24" s="4">
        <v>1</v>
      </c>
      <c r="C24" t="s">
        <v>13</v>
      </c>
      <c r="D24" s="2">
        <v>8</v>
      </c>
      <c r="E24" s="3">
        <f>D24*B24</f>
        <v>8</v>
      </c>
    </row>
    <row r="25" spans="1:5" x14ac:dyDescent="0.25">
      <c r="A25" t="s">
        <v>59</v>
      </c>
      <c r="B25" s="4">
        <v>1</v>
      </c>
      <c r="C25" t="s">
        <v>25</v>
      </c>
      <c r="E25" s="3"/>
    </row>
    <row r="26" spans="1:5" x14ac:dyDescent="0.25">
      <c r="A26" t="s">
        <v>5</v>
      </c>
      <c r="B26" s="4">
        <v>2</v>
      </c>
      <c r="C26" s="1" t="s">
        <v>3</v>
      </c>
      <c r="D26" s="2">
        <v>10.4</v>
      </c>
      <c r="E26" s="3">
        <f>D26*B26</f>
        <v>20.8</v>
      </c>
    </row>
    <row r="27" spans="1:5" x14ac:dyDescent="0.25">
      <c r="A27" t="s">
        <v>4</v>
      </c>
      <c r="B27" s="4">
        <v>5</v>
      </c>
      <c r="C27" s="1" t="s">
        <v>3</v>
      </c>
      <c r="D27" s="2">
        <v>12.9</v>
      </c>
      <c r="E27" s="3">
        <f>D27*B27</f>
        <v>64.5</v>
      </c>
    </row>
    <row r="28" spans="1:5" x14ac:dyDescent="0.25">
      <c r="A28" t="s">
        <v>61</v>
      </c>
      <c r="B28" s="4">
        <v>4</v>
      </c>
      <c r="C28" t="s">
        <v>25</v>
      </c>
      <c r="E28" s="3"/>
    </row>
    <row r="29" spans="1:5" x14ac:dyDescent="0.25">
      <c r="A29" t="s">
        <v>44</v>
      </c>
      <c r="B29" s="4">
        <v>23</v>
      </c>
      <c r="C29" t="s">
        <v>25</v>
      </c>
    </row>
    <row r="30" spans="1:5" x14ac:dyDescent="0.25">
      <c r="A30" t="s">
        <v>18</v>
      </c>
      <c r="B30" s="4">
        <v>4</v>
      </c>
      <c r="C30" t="s">
        <v>25</v>
      </c>
    </row>
    <row r="31" spans="1:5" x14ac:dyDescent="0.25">
      <c r="A31" t="s">
        <v>11</v>
      </c>
      <c r="B31" s="4">
        <v>89</v>
      </c>
      <c r="C31" t="s">
        <v>25</v>
      </c>
    </row>
    <row r="32" spans="1:5" x14ac:dyDescent="0.25">
      <c r="A32" t="s">
        <v>23</v>
      </c>
      <c r="B32" s="4">
        <v>4</v>
      </c>
      <c r="C32" t="s">
        <v>13</v>
      </c>
      <c r="D32" s="2">
        <v>5</v>
      </c>
      <c r="E32" s="3">
        <f>D32*B32</f>
        <v>20</v>
      </c>
    </row>
    <row r="33" spans="1:5" x14ac:dyDescent="0.25">
      <c r="A33" t="s">
        <v>57</v>
      </c>
      <c r="B33" s="4">
        <v>12</v>
      </c>
      <c r="C33" t="s">
        <v>25</v>
      </c>
      <c r="E33" s="3"/>
    </row>
    <row r="34" spans="1:5" x14ac:dyDescent="0.25">
      <c r="A34" t="s">
        <v>56</v>
      </c>
      <c r="B34" s="4">
        <v>1</v>
      </c>
      <c r="C34" t="s">
        <v>25</v>
      </c>
      <c r="D34" s="2">
        <v>3</v>
      </c>
      <c r="E34" s="3">
        <f t="shared" ref="E34:E46" si="0">D34*B34</f>
        <v>3</v>
      </c>
    </row>
    <row r="35" spans="1:5" x14ac:dyDescent="0.25">
      <c r="A35" t="s">
        <v>55</v>
      </c>
      <c r="B35" s="4">
        <v>1</v>
      </c>
      <c r="C35" t="s">
        <v>13</v>
      </c>
      <c r="D35" s="2">
        <v>1</v>
      </c>
      <c r="E35" s="3">
        <f t="shared" si="0"/>
        <v>1</v>
      </c>
    </row>
    <row r="36" spans="1:5" x14ac:dyDescent="0.25">
      <c r="A36" t="s">
        <v>50</v>
      </c>
      <c r="B36" s="4">
        <v>1</v>
      </c>
      <c r="C36" t="s">
        <v>13</v>
      </c>
      <c r="D36" s="2">
        <v>25</v>
      </c>
      <c r="E36" s="3">
        <f t="shared" si="0"/>
        <v>25</v>
      </c>
    </row>
    <row r="37" spans="1:5" x14ac:dyDescent="0.25">
      <c r="A37" t="s">
        <v>52</v>
      </c>
      <c r="B37" s="4">
        <v>1</v>
      </c>
      <c r="C37" t="s">
        <v>13</v>
      </c>
      <c r="D37" s="2">
        <v>5</v>
      </c>
      <c r="E37" s="3">
        <f t="shared" si="0"/>
        <v>5</v>
      </c>
    </row>
    <row r="38" spans="1:5" x14ac:dyDescent="0.25">
      <c r="A38" t="s">
        <v>71</v>
      </c>
      <c r="B38" s="4">
        <v>1</v>
      </c>
      <c r="C38" t="s">
        <v>13</v>
      </c>
      <c r="D38" s="2">
        <v>3</v>
      </c>
      <c r="E38" s="3">
        <f t="shared" si="0"/>
        <v>3</v>
      </c>
    </row>
    <row r="39" spans="1:5" x14ac:dyDescent="0.25">
      <c r="A39" t="s">
        <v>32</v>
      </c>
      <c r="B39" s="4">
        <v>2</v>
      </c>
      <c r="C39" t="s">
        <v>25</v>
      </c>
      <c r="D39" s="2">
        <v>2</v>
      </c>
      <c r="E39" s="3">
        <f t="shared" si="0"/>
        <v>4</v>
      </c>
    </row>
    <row r="40" spans="1:5" x14ac:dyDescent="0.25">
      <c r="A40" t="s">
        <v>35</v>
      </c>
      <c r="B40" s="4">
        <v>1</v>
      </c>
      <c r="C40" t="s">
        <v>25</v>
      </c>
      <c r="D40" s="2">
        <v>2</v>
      </c>
      <c r="E40" s="3">
        <f t="shared" si="0"/>
        <v>2</v>
      </c>
    </row>
    <row r="41" spans="1:5" x14ac:dyDescent="0.25">
      <c r="A41" t="s">
        <v>48</v>
      </c>
      <c r="B41" s="4">
        <v>2</v>
      </c>
      <c r="C41" t="s">
        <v>25</v>
      </c>
      <c r="D41" s="2">
        <v>2</v>
      </c>
      <c r="E41" s="3">
        <f t="shared" si="0"/>
        <v>4</v>
      </c>
    </row>
    <row r="42" spans="1:5" x14ac:dyDescent="0.25">
      <c r="A42" t="s">
        <v>33</v>
      </c>
      <c r="B42" s="4">
        <v>2</v>
      </c>
      <c r="C42" t="s">
        <v>25</v>
      </c>
      <c r="D42" s="2">
        <v>2</v>
      </c>
      <c r="E42" s="3">
        <f t="shared" si="0"/>
        <v>4</v>
      </c>
    </row>
    <row r="43" spans="1:5" x14ac:dyDescent="0.25">
      <c r="A43" t="s">
        <v>34</v>
      </c>
      <c r="B43" s="4">
        <v>1</v>
      </c>
      <c r="C43" t="s">
        <v>25</v>
      </c>
      <c r="D43" s="2">
        <v>2</v>
      </c>
      <c r="E43" s="3">
        <f t="shared" si="0"/>
        <v>2</v>
      </c>
    </row>
    <row r="44" spans="1:5" x14ac:dyDescent="0.25">
      <c r="A44" t="s">
        <v>69</v>
      </c>
      <c r="B44" s="4">
        <v>1</v>
      </c>
      <c r="C44" t="s">
        <v>70</v>
      </c>
      <c r="D44" s="2">
        <v>5</v>
      </c>
      <c r="E44" s="3">
        <f t="shared" si="0"/>
        <v>5</v>
      </c>
    </row>
    <row r="45" spans="1:5" x14ac:dyDescent="0.25">
      <c r="A45" t="s">
        <v>40</v>
      </c>
      <c r="B45" s="4">
        <v>1</v>
      </c>
      <c r="C45" t="s">
        <v>13</v>
      </c>
      <c r="D45" s="2">
        <v>35</v>
      </c>
      <c r="E45" s="3">
        <f t="shared" si="0"/>
        <v>35</v>
      </c>
    </row>
    <row r="46" spans="1:5" x14ac:dyDescent="0.25">
      <c r="A46" t="s">
        <v>54</v>
      </c>
      <c r="B46" s="4">
        <v>1</v>
      </c>
      <c r="C46" t="s">
        <v>13</v>
      </c>
      <c r="D46" s="2">
        <v>10</v>
      </c>
      <c r="E46" s="3">
        <f t="shared" si="0"/>
        <v>10</v>
      </c>
    </row>
    <row r="47" spans="1:5" x14ac:dyDescent="0.25">
      <c r="A47" t="s">
        <v>20</v>
      </c>
      <c r="B47" s="4">
        <v>28</v>
      </c>
      <c r="C47" t="s">
        <v>25</v>
      </c>
    </row>
    <row r="48" spans="1:5" x14ac:dyDescent="0.25">
      <c r="A48" t="s">
        <v>16</v>
      </c>
      <c r="B48" s="4">
        <v>1</v>
      </c>
      <c r="C48" t="s">
        <v>25</v>
      </c>
    </row>
    <row r="49" spans="1:5" x14ac:dyDescent="0.25">
      <c r="A49" t="s">
        <v>16</v>
      </c>
      <c r="B49" s="4">
        <v>2</v>
      </c>
      <c r="C49" t="s">
        <v>25</v>
      </c>
    </row>
    <row r="50" spans="1:5" x14ac:dyDescent="0.25">
      <c r="A50" t="s">
        <v>24</v>
      </c>
      <c r="B50" s="4">
        <v>34</v>
      </c>
      <c r="C50" t="s">
        <v>25</v>
      </c>
    </row>
    <row r="51" spans="1:5" x14ac:dyDescent="0.25">
      <c r="A51" t="s">
        <v>14</v>
      </c>
      <c r="B51" s="4">
        <v>2</v>
      </c>
      <c r="C51" t="s">
        <v>13</v>
      </c>
      <c r="D51" s="2">
        <v>0.5</v>
      </c>
      <c r="E51" s="3">
        <f>D51*B51</f>
        <v>1</v>
      </c>
    </row>
    <row r="52" spans="1:5" x14ac:dyDescent="0.25">
      <c r="A52" t="s">
        <v>26</v>
      </c>
      <c r="B52" s="4">
        <v>1</v>
      </c>
      <c r="C52" t="s">
        <v>13</v>
      </c>
      <c r="D52" s="2">
        <v>2</v>
      </c>
      <c r="E52" s="3">
        <f>D52*B52</f>
        <v>2</v>
      </c>
    </row>
    <row r="53" spans="1:5" x14ac:dyDescent="0.25">
      <c r="A53" t="s">
        <v>58</v>
      </c>
      <c r="B53" s="4">
        <v>2</v>
      </c>
      <c r="C53" t="s">
        <v>25</v>
      </c>
      <c r="E53" s="3"/>
    </row>
    <row r="54" spans="1:5" x14ac:dyDescent="0.25">
      <c r="A54" t="s">
        <v>49</v>
      </c>
      <c r="B54" s="4">
        <v>1</v>
      </c>
      <c r="C54" t="s">
        <v>25</v>
      </c>
      <c r="D54" s="2">
        <v>7</v>
      </c>
      <c r="E54" s="3">
        <f>D54*B54</f>
        <v>7</v>
      </c>
    </row>
    <row r="55" spans="1:5" x14ac:dyDescent="0.25">
      <c r="A55" t="s">
        <v>10</v>
      </c>
      <c r="B55" s="4">
        <v>55</v>
      </c>
      <c r="C55" t="s">
        <v>25</v>
      </c>
    </row>
    <row r="56" spans="1:5" x14ac:dyDescent="0.25">
      <c r="A56" t="s">
        <v>60</v>
      </c>
      <c r="B56" s="4">
        <v>4</v>
      </c>
      <c r="C56" t="s">
        <v>25</v>
      </c>
      <c r="E56" s="3"/>
    </row>
    <row r="57" spans="1:5" x14ac:dyDescent="0.25">
      <c r="A57" t="s">
        <v>29</v>
      </c>
      <c r="B57" s="4">
        <v>6</v>
      </c>
      <c r="C57" t="s">
        <v>25</v>
      </c>
    </row>
    <row r="58" spans="1:5" x14ac:dyDescent="0.25">
      <c r="A58" t="s">
        <v>28</v>
      </c>
      <c r="B58" s="4">
        <v>49</v>
      </c>
      <c r="C58" t="s">
        <v>25</v>
      </c>
    </row>
    <row r="59" spans="1:5" x14ac:dyDescent="0.25">
      <c r="A59" t="s">
        <v>39</v>
      </c>
      <c r="B59" s="4">
        <v>18</v>
      </c>
      <c r="C59" t="s">
        <v>25</v>
      </c>
    </row>
    <row r="60" spans="1:5" x14ac:dyDescent="0.25">
      <c r="A60" t="s">
        <v>65</v>
      </c>
      <c r="B60" s="4">
        <v>4</v>
      </c>
      <c r="C60" t="s">
        <v>64</v>
      </c>
      <c r="D60" s="2">
        <v>7.5</v>
      </c>
      <c r="E60" s="3">
        <f>D60*B60</f>
        <v>30</v>
      </c>
    </row>
    <row r="61" spans="1:5" x14ac:dyDescent="0.25">
      <c r="A61" t="s">
        <v>67</v>
      </c>
      <c r="B61" s="4">
        <v>2</v>
      </c>
      <c r="C61" t="s">
        <v>64</v>
      </c>
      <c r="D61" s="2">
        <v>5.3</v>
      </c>
      <c r="E61" s="3">
        <f>D61*B61</f>
        <v>10.6</v>
      </c>
    </row>
    <row r="62" spans="1:5" x14ac:dyDescent="0.25">
      <c r="A62" t="s">
        <v>66</v>
      </c>
      <c r="B62" s="4">
        <v>1</v>
      </c>
      <c r="C62" t="s">
        <v>64</v>
      </c>
      <c r="D62" s="2">
        <v>3</v>
      </c>
      <c r="E62" s="3">
        <f>D62*B62</f>
        <v>3</v>
      </c>
    </row>
    <row r="63" spans="1:5" x14ac:dyDescent="0.25">
      <c r="A63" t="s">
        <v>63</v>
      </c>
      <c r="E63" s="3">
        <v>15</v>
      </c>
    </row>
    <row r="64" spans="1:5" x14ac:dyDescent="0.25">
      <c r="A64" s="5" t="s">
        <v>68</v>
      </c>
      <c r="B64" s="6"/>
      <c r="C64" s="5"/>
      <c r="D64" s="7"/>
      <c r="E64" s="7">
        <f>SUBTOTAL(109,E2:E63)</f>
        <v>392.30000000000007</v>
      </c>
    </row>
  </sheetData>
  <hyperlinks>
    <hyperlink ref="C26" r:id="rId1" xr:uid="{0F0B4F19-E351-4157-A899-B44763FCA5FA}"/>
    <hyperlink ref="C27" r:id="rId2" xr:uid="{99725B9F-9DDE-4100-B438-566CC7F2B19F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Rigorini</dc:creator>
  <cp:lastModifiedBy>Diego Rigorini</cp:lastModifiedBy>
  <dcterms:created xsi:type="dcterms:W3CDTF">2018-05-06T10:34:33Z</dcterms:created>
  <dcterms:modified xsi:type="dcterms:W3CDTF">2018-05-12T16:34:58Z</dcterms:modified>
</cp:coreProperties>
</file>